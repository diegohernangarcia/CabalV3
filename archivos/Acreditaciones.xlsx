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definedNames>
    <definedName function="false" hidden="true" localSheetId="0" name="_xlnm._FilterDatabase" vbProcedure="false">'Hoja 1'!$A$3:$H$30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<sst xmlns="http://schemas.openxmlformats.org/spreadsheetml/2006/main" count="115" uniqueCount="105">
  <si>
    <t xml:space="preserve">ANEXO I</t>
  </si>
  <si>
    <t xml:space="preserve">PLANILLA OCTUBRE 2026 TARJETAS F.R.S</t>
  </si>
  <si>
    <t xml:space="preserve">Nº</t>
  </si>
  <si>
    <t xml:space="preserve">DISPOSICIÓN/EXPTE JUDICIAL</t>
  </si>
  <si>
    <t xml:space="preserve">APELLIDO</t>
  </si>
  <si>
    <t xml:space="preserve">NOMBRE</t>
  </si>
  <si>
    <t xml:space="preserve">LOCALIDAD</t>
  </si>
  <si>
    <t xml:space="preserve">DNI</t>
  </si>
  <si>
    <t xml:space="preserve">CUIL</t>
  </si>
  <si>
    <t xml:space="preserve"> ACREDITAR</t>
  </si>
  <si>
    <t xml:space="preserve">N.º 166/2024</t>
  </si>
  <si>
    <t xml:space="preserve">ALMIRON </t>
  </si>
  <si>
    <t xml:space="preserve">MARIA DEL ROSARIO </t>
  </si>
  <si>
    <t xml:space="preserve">S.C.de BARILOCHE</t>
  </si>
  <si>
    <t xml:space="preserve">N.° 003/2025</t>
  </si>
  <si>
    <t xml:space="preserve">BARALE</t>
  </si>
  <si>
    <t xml:space="preserve">VALERIA JORGELINA</t>
  </si>
  <si>
    <t xml:space="preserve">CIPOLLETTI</t>
  </si>
  <si>
    <t xml:space="preserve">N.° 044/2026</t>
  </si>
  <si>
    <t xml:space="preserve">BORGHESE</t>
  </si>
  <si>
    <t xml:space="preserve">GILDA</t>
  </si>
  <si>
    <t xml:space="preserve">BARILOCHE</t>
  </si>
  <si>
    <t xml:space="preserve">Nº. 52/2026</t>
  </si>
  <si>
    <t xml:space="preserve">CHURRARIN</t>
  </si>
  <si>
    <t xml:space="preserve">LUCIANA ELIZABETH</t>
  </si>
  <si>
    <t xml:space="preserve">CONESA</t>
  </si>
  <si>
    <t xml:space="preserve">Nº. 117/2025</t>
  </si>
  <si>
    <t xml:space="preserve">CORONEL</t>
  </si>
  <si>
    <t xml:space="preserve">KAREN</t>
  </si>
  <si>
    <t xml:space="preserve">MAIQUE</t>
  </si>
  <si>
    <t xml:space="preserve">N.° 001/2025</t>
  </si>
  <si>
    <t xml:space="preserve">DAL BIANCO</t>
  </si>
  <si>
    <t xml:space="preserve">MARIA ALEXA</t>
  </si>
  <si>
    <t xml:space="preserve">N.º 016/2026</t>
  </si>
  <si>
    <t xml:space="preserve">ESCALANTE</t>
  </si>
  <si>
    <t xml:space="preserve">IVANA PAOLA</t>
  </si>
  <si>
    <t xml:space="preserve">BOLSÓN</t>
  </si>
  <si>
    <t xml:space="preserve">N.º  55/2026</t>
  </si>
  <si>
    <t xml:space="preserve">ESPINOSA</t>
  </si>
  <si>
    <t xml:space="preserve">DANIELA SOLEDAD</t>
  </si>
  <si>
    <t xml:space="preserve">ALLEN</t>
  </si>
  <si>
    <t xml:space="preserve">Nº. 81/2026</t>
  </si>
  <si>
    <t xml:space="preserve">FANDIÑO</t>
  </si>
  <si>
    <t xml:space="preserve">BELEN INES</t>
  </si>
  <si>
    <t xml:space="preserve">BELTRAN</t>
  </si>
  <si>
    <t xml:space="preserve">Nº. 054/2026</t>
  </si>
  <si>
    <t xml:space="preserve">FERNANDEZ</t>
  </si>
  <si>
    <t xml:space="preserve">ROCIO ALDANA</t>
  </si>
  <si>
    <t xml:space="preserve">VIEDMA</t>
  </si>
  <si>
    <t xml:space="preserve">N.º 028/2024</t>
  </si>
  <si>
    <t xml:space="preserve">IGLESIAS QUIROGA </t>
  </si>
  <si>
    <t xml:space="preserve">KIARA NADINE</t>
  </si>
  <si>
    <t xml:space="preserve">SIERRA GRANDE</t>
  </si>
  <si>
    <t xml:space="preserve">N.º 004/2025</t>
  </si>
  <si>
    <t xml:space="preserve">JIMENEZ</t>
  </si>
  <si>
    <t xml:space="preserve">MAIA AGOSTINA</t>
  </si>
  <si>
    <t xml:space="preserve">JUAREZ </t>
  </si>
  <si>
    <t xml:space="preserve">SILVIA BEATRIZ</t>
  </si>
  <si>
    <t xml:space="preserve">N.º 38/2026</t>
  </si>
  <si>
    <t xml:space="preserve">LUCERO </t>
  </si>
  <si>
    <t xml:space="preserve">LORENA FABIANA</t>
  </si>
  <si>
    <t xml:space="preserve">CINCO SALTOS</t>
  </si>
  <si>
    <t xml:space="preserve">N.º 123/2026</t>
  </si>
  <si>
    <t xml:space="preserve">MACRI </t>
  </si>
  <si>
    <t xml:space="preserve">ROSA BEATRIZ</t>
  </si>
  <si>
    <t xml:space="preserve">C. de PATAGONES</t>
  </si>
  <si>
    <t xml:space="preserve">N.º 101/2026</t>
  </si>
  <si>
    <t xml:space="preserve">MINISINI </t>
  </si>
  <si>
    <t xml:space="preserve">VALERIA AYELEN</t>
  </si>
  <si>
    <t xml:space="preserve">VILLA REGINA</t>
  </si>
  <si>
    <t xml:space="preserve">Nº. 185/2026</t>
  </si>
  <si>
    <t xml:space="preserve">OTONELLO</t>
  </si>
  <si>
    <t xml:space="preserve">PATRICIA</t>
  </si>
  <si>
    <t xml:space="preserve">Nº. 062/2026</t>
  </si>
  <si>
    <t xml:space="preserve">PACE</t>
  </si>
  <si>
    <t xml:space="preserve">GABRIELA EMILIA</t>
  </si>
  <si>
    <t xml:space="preserve">N.º 019/2025</t>
  </si>
  <si>
    <t xml:space="preserve">RIOSECO</t>
  </si>
  <si>
    <t xml:space="preserve">BELEN ANABEL</t>
  </si>
  <si>
    <t xml:space="preserve">N.º 009/2024</t>
  </si>
  <si>
    <t xml:space="preserve">ROMAN</t>
  </si>
  <si>
    <t xml:space="preserve">VILMA LAUREANA</t>
  </si>
  <si>
    <t xml:space="preserve">Nº. 26/2026</t>
  </si>
  <si>
    <t xml:space="preserve">ROSALES </t>
  </si>
  <si>
    <t xml:space="preserve">ROCIO ELIZABETH</t>
  </si>
  <si>
    <t xml:space="preserve">CATRIEL</t>
  </si>
  <si>
    <t xml:space="preserve">N.° 209/2025</t>
  </si>
  <si>
    <t xml:space="preserve">TOLOSA</t>
  </si>
  <si>
    <t xml:space="preserve">FLORENCIA SOLEDAD</t>
  </si>
  <si>
    <r>
      <rPr>
        <sz val="11"/>
        <color rgb="FF000000"/>
        <rFont val="Times new roman"/>
        <family val="0"/>
        <charset val="1"/>
      </rPr>
      <t xml:space="preserve">S.C.de</t>
    </r>
    <r>
      <rPr>
        <sz val="11"/>
        <color theme="1"/>
        <rFont val="Times new roman"/>
        <family val="0"/>
        <charset val="1"/>
      </rPr>
      <t xml:space="preserve"> BARILOCHE</t>
    </r>
  </si>
  <si>
    <t xml:space="preserve">N.º 18/2026</t>
  </si>
  <si>
    <t xml:space="preserve">TORRES</t>
  </si>
  <si>
    <t xml:space="preserve">BEATRIZ</t>
  </si>
  <si>
    <t xml:space="preserve">GRAL. ROCA</t>
  </si>
  <si>
    <t xml:space="preserve">N.° 081/2025</t>
  </si>
  <si>
    <t xml:space="preserve">VASQUEZ PEZO</t>
  </si>
  <si>
    <t xml:space="preserve">VALERIA GINETTE</t>
  </si>
  <si>
    <t xml:space="preserve">Nº. 031/2026</t>
  </si>
  <si>
    <t xml:space="preserve">VELIZ</t>
  </si>
  <si>
    <t xml:space="preserve">PAOLA ROMINA</t>
  </si>
  <si>
    <t xml:space="preserve">SAN ANTONIO</t>
  </si>
  <si>
    <t xml:space="preserve">N.º 130/2026</t>
  </si>
  <si>
    <t xml:space="preserve">YAÑEZ</t>
  </si>
  <si>
    <t xml:space="preserve"> SILVANA ALEJANDRA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</si>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</sst>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[$$-2C0A]#,##0.00;[RED]\([$$-2C0A]#,##0.00\)"/>
    <numFmt numFmtId="167" formatCode="[$ $]#,##0.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imes new roman"/>
      <family val="1"/>
      <charset val="1"/>
    </font>
    <font>
      <b val="true"/>
      <u val="singl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rgb="FF000000"/>
      <name val="Times new roman"/>
      <family val="0"/>
      <charset val="1"/>
    </font>
    <font>
      <sz val="11"/>
      <color theme="1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Z994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I30" activeCellId="0" sqref="I30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6.51"/>
    <col collapsed="false" customWidth="true" hidden="false" outlineLevel="0" max="2" min="2" style="1" width="34.64"/>
    <col collapsed="false" customWidth="true" hidden="false" outlineLevel="0" max="3" min="3" style="1" width="21"/>
    <col collapsed="false" customWidth="true" hidden="false" outlineLevel="0" max="4" min="4" style="1" width="24.25"/>
    <col collapsed="false" customWidth="true" hidden="false" outlineLevel="0" max="5" min="5" style="1" width="19.79"/>
    <col collapsed="false" customWidth="true" hidden="false" outlineLevel="0" max="6" min="6" style="1" width="10.48"/>
    <col collapsed="false" customWidth="true" hidden="false" outlineLevel="0" max="7" min="7" style="1" width="13.81"/>
    <col collapsed="false" customWidth="true" hidden="false" outlineLevel="0" max="8" min="8" style="1" width="17.71"/>
    <col collapsed="false" customWidth="true" hidden="false" outlineLevel="0" max="9" min="9" style="1" width="11.53"/>
    <col collapsed="false" customWidth="false" hidden="false" outlineLevel="0" max="16384" min="10" style="1" width="12.63"/>
  </cols>
  <sheetData>
    <row r="1" customFormat="false" ht="22.3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.75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6" t="s">
        <v>8</v>
      </c>
      <c r="H3" s="7" t="s">
        <v>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5.75" hidden="false" customHeight="true" outlineLevel="0" collapsed="false">
      <c r="A4" s="8" t="n">
        <v>1</v>
      </c>
      <c r="B4" s="8" t="s">
        <v>10</v>
      </c>
      <c r="C4" s="8" t="s">
        <v>11</v>
      </c>
      <c r="D4" s="8" t="s">
        <v>12</v>
      </c>
      <c r="E4" s="8" t="s">
        <v>13</v>
      </c>
      <c r="F4" s="8" t="n">
        <v>10152013</v>
      </c>
      <c r="G4" s="8" t="n">
        <v>27101520132</v>
      </c>
      <c r="H4" s="9" t="n">
        <v>830000</v>
      </c>
      <c r="I4" s="10" t="n">
        <f aca="false">H4/830000</f>
        <v>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.75" hidden="false" customHeight="true" outlineLevel="0" collapsed="false">
      <c r="A5" s="8" t="n">
        <v>2</v>
      </c>
      <c r="B5" s="8" t="s">
        <v>14</v>
      </c>
      <c r="C5" s="8" t="s">
        <v>15</v>
      </c>
      <c r="D5" s="8" t="s">
        <v>16</v>
      </c>
      <c r="E5" s="8" t="s">
        <v>17</v>
      </c>
      <c r="F5" s="8" t="n">
        <v>29919514</v>
      </c>
      <c r="G5" s="8" t="n">
        <v>27299195142</v>
      </c>
      <c r="H5" s="9" t="n">
        <v>830000</v>
      </c>
      <c r="I5" s="10" t="n">
        <f aca="false">H5/830000</f>
        <v>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5.75" hidden="false" customHeight="true" outlineLevel="0" collapsed="false">
      <c r="A6" s="8" t="n">
        <v>3</v>
      </c>
      <c r="B6" s="8" t="s">
        <v>18</v>
      </c>
      <c r="C6" s="8" t="s">
        <v>19</v>
      </c>
      <c r="D6" s="8" t="s">
        <v>20</v>
      </c>
      <c r="E6" s="8" t="s">
        <v>21</v>
      </c>
      <c r="F6" s="8" t="n">
        <v>30520140</v>
      </c>
      <c r="G6" s="8" t="n">
        <v>24305201401</v>
      </c>
      <c r="H6" s="9" t="n">
        <v>830000</v>
      </c>
      <c r="I6" s="10" t="n">
        <f aca="false">H6/830000</f>
        <v>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5.75" hidden="false" customHeight="true" outlineLevel="0" collapsed="false">
      <c r="A7" s="8" t="n">
        <v>4</v>
      </c>
      <c r="B7" s="8" t="s">
        <v>22</v>
      </c>
      <c r="C7" s="11" t="s">
        <v>23</v>
      </c>
      <c r="D7" s="8" t="s">
        <v>24</v>
      </c>
      <c r="E7" s="11" t="s">
        <v>25</v>
      </c>
      <c r="F7" s="8" t="n">
        <v>30285950</v>
      </c>
      <c r="G7" s="8" t="n">
        <v>27302859502</v>
      </c>
      <c r="H7" s="9" t="n">
        <v>830000</v>
      </c>
      <c r="I7" s="10" t="n">
        <f aca="false">H7/830000</f>
        <v>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.75" hidden="false" customHeight="true" outlineLevel="0" collapsed="false">
      <c r="A8" s="8" t="n">
        <v>5</v>
      </c>
      <c r="B8" s="8" t="s">
        <v>26</v>
      </c>
      <c r="C8" s="8" t="s">
        <v>27</v>
      </c>
      <c r="D8" s="8" t="s">
        <v>28</v>
      </c>
      <c r="E8" s="8" t="s">
        <v>29</v>
      </c>
      <c r="F8" s="8" t="n">
        <v>35058881</v>
      </c>
      <c r="G8" s="8" t="n">
        <v>27350588812</v>
      </c>
      <c r="H8" s="9" t="n">
        <v>830000</v>
      </c>
      <c r="I8" s="10" t="n">
        <f aca="false">H8/830000</f>
        <v>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.75" hidden="false" customHeight="true" outlineLevel="0" collapsed="false">
      <c r="A9" s="8" t="n">
        <v>6</v>
      </c>
      <c r="B9" s="11" t="s">
        <v>30</v>
      </c>
      <c r="C9" s="11" t="s">
        <v>31</v>
      </c>
      <c r="D9" s="8" t="s">
        <v>32</v>
      </c>
      <c r="E9" s="11" t="s">
        <v>13</v>
      </c>
      <c r="F9" s="8" t="n">
        <v>23831193</v>
      </c>
      <c r="G9" s="8" t="n">
        <v>23238311934</v>
      </c>
      <c r="H9" s="9" t="n">
        <f aca="false">+830000*3</f>
        <v>2490000</v>
      </c>
      <c r="I9" s="10" t="n">
        <f aca="false">H9/830000</f>
        <v>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.75" hidden="false" customHeight="true" outlineLevel="0" collapsed="false">
      <c r="A10" s="8" t="n">
        <v>7</v>
      </c>
      <c r="B10" s="8" t="s">
        <v>33</v>
      </c>
      <c r="C10" s="8" t="s">
        <v>34</v>
      </c>
      <c r="D10" s="8" t="s">
        <v>35</v>
      </c>
      <c r="E10" s="8" t="s">
        <v>36</v>
      </c>
      <c r="F10" s="8" t="n">
        <v>24054807</v>
      </c>
      <c r="G10" s="8" t="n">
        <v>27240548076</v>
      </c>
      <c r="H10" s="9" t="n">
        <f aca="false">+830000*2</f>
        <v>1660000</v>
      </c>
      <c r="I10" s="10" t="n">
        <f aca="false">H10/830000</f>
        <v>2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.75" hidden="false" customHeight="true" outlineLevel="0" collapsed="false">
      <c r="A11" s="8" t="n">
        <v>8</v>
      </c>
      <c r="B11" s="8" t="s">
        <v>37</v>
      </c>
      <c r="C11" s="8" t="s">
        <v>38</v>
      </c>
      <c r="D11" s="8" t="s">
        <v>39</v>
      </c>
      <c r="E11" s="8" t="s">
        <v>40</v>
      </c>
      <c r="F11" s="8" t="n">
        <v>36771087</v>
      </c>
      <c r="G11" s="8" t="n">
        <v>27367710875</v>
      </c>
      <c r="H11" s="9" t="n">
        <v>830000</v>
      </c>
      <c r="I11" s="10" t="n">
        <f aca="false">H11/830000</f>
        <v>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.75" hidden="false" customHeight="true" outlineLevel="0" collapsed="false">
      <c r="A12" s="8" t="n">
        <v>9</v>
      </c>
      <c r="B12" s="11" t="s">
        <v>41</v>
      </c>
      <c r="C12" s="11" t="s">
        <v>42</v>
      </c>
      <c r="D12" s="8" t="s">
        <v>43</v>
      </c>
      <c r="E12" s="8" t="s">
        <v>44</v>
      </c>
      <c r="F12" s="8" t="n">
        <v>30428674</v>
      </c>
      <c r="G12" s="8" t="n">
        <v>27304286747</v>
      </c>
      <c r="H12" s="9" t="n">
        <v>830000</v>
      </c>
      <c r="I12" s="10" t="n">
        <f aca="false">H12/830000</f>
        <v>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5.75" hidden="false" customHeight="true" outlineLevel="0" collapsed="false">
      <c r="A13" s="8" t="n">
        <v>10</v>
      </c>
      <c r="B13" s="8" t="s">
        <v>45</v>
      </c>
      <c r="C13" s="8" t="s">
        <v>46</v>
      </c>
      <c r="D13" s="8" t="s">
        <v>47</v>
      </c>
      <c r="E13" s="8" t="s">
        <v>48</v>
      </c>
      <c r="F13" s="8" t="n">
        <v>38219686</v>
      </c>
      <c r="G13" s="8" t="n">
        <v>23382196864</v>
      </c>
      <c r="H13" s="9" t="n">
        <v>830000</v>
      </c>
      <c r="I13" s="10" t="n">
        <f aca="false">H13/830000</f>
        <v>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5" hidden="false" customHeight="false" outlineLevel="0" collapsed="false">
      <c r="A14" s="8" t="n">
        <v>11</v>
      </c>
      <c r="B14" s="12" t="s">
        <v>49</v>
      </c>
      <c r="C14" s="11" t="s">
        <v>50</v>
      </c>
      <c r="D14" s="8" t="s">
        <v>51</v>
      </c>
      <c r="E14" s="12" t="s">
        <v>52</v>
      </c>
      <c r="F14" s="12" t="n">
        <v>44863934</v>
      </c>
      <c r="G14" s="13" t="n">
        <v>27448639342</v>
      </c>
      <c r="H14" s="9" t="n">
        <v>830000</v>
      </c>
      <c r="I14" s="10" t="n">
        <f aca="false">H14/830000</f>
        <v>1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.75" hidden="false" customHeight="true" outlineLevel="0" collapsed="false">
      <c r="A15" s="8" t="n">
        <v>12</v>
      </c>
      <c r="B15" s="8" t="s">
        <v>53</v>
      </c>
      <c r="C15" s="8" t="s">
        <v>54</v>
      </c>
      <c r="D15" s="8" t="s">
        <v>55</v>
      </c>
      <c r="E15" s="8" t="s">
        <v>48</v>
      </c>
      <c r="F15" s="8" t="n">
        <v>36850297</v>
      </c>
      <c r="G15" s="8" t="n">
        <v>27368502974</v>
      </c>
      <c r="H15" s="9" t="n">
        <v>830000</v>
      </c>
      <c r="I15" s="10" t="n">
        <f aca="false">H15/830000</f>
        <v>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.75" hidden="false" customHeight="true" outlineLevel="0" collapsed="false">
      <c r="A16" s="8" t="n">
        <v>13</v>
      </c>
      <c r="B16" s="12" t="s">
        <v>49</v>
      </c>
      <c r="C16" s="12" t="s">
        <v>56</v>
      </c>
      <c r="D16" s="8" t="s">
        <v>57</v>
      </c>
      <c r="E16" s="12" t="s">
        <v>52</v>
      </c>
      <c r="F16" s="12" t="n">
        <v>27322449</v>
      </c>
      <c r="G16" s="13" t="n">
        <v>27273224497</v>
      </c>
      <c r="H16" s="9" t="n">
        <v>830000</v>
      </c>
      <c r="I16" s="10" t="n">
        <f aca="false">H16/830000</f>
        <v>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.75" hidden="false" customHeight="true" outlineLevel="0" collapsed="false">
      <c r="A17" s="8" t="n">
        <v>14</v>
      </c>
      <c r="B17" s="12" t="s">
        <v>58</v>
      </c>
      <c r="C17" s="12" t="s">
        <v>59</v>
      </c>
      <c r="D17" s="8" t="s">
        <v>60</v>
      </c>
      <c r="E17" s="11" t="s">
        <v>61</v>
      </c>
      <c r="F17" s="12" t="n">
        <v>25362776</v>
      </c>
      <c r="G17" s="13" t="n">
        <v>27253627765</v>
      </c>
      <c r="H17" s="9" t="n">
        <v>830000</v>
      </c>
      <c r="I17" s="10" t="n">
        <f aca="false">H17/830000</f>
        <v>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.75" hidden="false" customHeight="true" outlineLevel="0" collapsed="false">
      <c r="A18" s="8" t="n">
        <v>15</v>
      </c>
      <c r="B18" s="12" t="s">
        <v>62</v>
      </c>
      <c r="C18" s="12" t="s">
        <v>63</v>
      </c>
      <c r="D18" s="12" t="s">
        <v>64</v>
      </c>
      <c r="E18" s="12" t="s">
        <v>65</v>
      </c>
      <c r="F18" s="12" t="n">
        <v>22132850</v>
      </c>
      <c r="G18" s="13" t="n">
        <v>27221328502</v>
      </c>
      <c r="H18" s="9" t="n">
        <v>830000</v>
      </c>
      <c r="I18" s="10" t="n">
        <f aca="false">H18/830000</f>
        <v>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true" outlineLevel="0" collapsed="false">
      <c r="A19" s="8" t="n">
        <v>16</v>
      </c>
      <c r="B19" s="12" t="s">
        <v>66</v>
      </c>
      <c r="C19" s="12" t="s">
        <v>67</v>
      </c>
      <c r="D19" s="8" t="s">
        <v>68</v>
      </c>
      <c r="E19" s="12" t="s">
        <v>69</v>
      </c>
      <c r="F19" s="12" t="n">
        <v>38533402</v>
      </c>
      <c r="G19" s="13" t="n">
        <v>27385334023</v>
      </c>
      <c r="H19" s="9" t="n">
        <f aca="false">+830000*2</f>
        <v>1660000</v>
      </c>
      <c r="I19" s="10" t="n">
        <f aca="false">H19/830000</f>
        <v>2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8" t="n">
        <v>17</v>
      </c>
      <c r="B20" s="8" t="s">
        <v>70</v>
      </c>
      <c r="C20" s="8" t="s">
        <v>71</v>
      </c>
      <c r="D20" s="8" t="s">
        <v>72</v>
      </c>
      <c r="E20" s="8" t="s">
        <v>40</v>
      </c>
      <c r="F20" s="8" t="n">
        <v>31765369</v>
      </c>
      <c r="G20" s="8" t="n">
        <v>27317653692</v>
      </c>
      <c r="H20" s="9" t="n">
        <f aca="false">+830000*2</f>
        <v>1660000</v>
      </c>
      <c r="I20" s="10" t="n">
        <f aca="false">H20/830000</f>
        <v>2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A21" s="8" t="n">
        <v>18</v>
      </c>
      <c r="B21" s="8" t="s">
        <v>73</v>
      </c>
      <c r="C21" s="11" t="s">
        <v>74</v>
      </c>
      <c r="D21" s="14" t="s">
        <v>75</v>
      </c>
      <c r="E21" s="8" t="s">
        <v>52</v>
      </c>
      <c r="F21" s="8" t="n">
        <v>34325620</v>
      </c>
      <c r="G21" s="8" t="n">
        <v>27343256200</v>
      </c>
      <c r="H21" s="9" t="n">
        <v>830000</v>
      </c>
      <c r="I21" s="10" t="n">
        <f aca="false">H21/830000</f>
        <v>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A22" s="8" t="n">
        <v>19</v>
      </c>
      <c r="B22" s="8" t="s">
        <v>76</v>
      </c>
      <c r="C22" s="8" t="s">
        <v>77</v>
      </c>
      <c r="D22" s="15" t="s">
        <v>78</v>
      </c>
      <c r="E22" s="8" t="s">
        <v>17</v>
      </c>
      <c r="F22" s="8" t="n">
        <v>34952093</v>
      </c>
      <c r="G22" s="8" t="n">
        <v>27349520937</v>
      </c>
      <c r="H22" s="9" t="n">
        <f aca="false">+830000*3</f>
        <v>2490000</v>
      </c>
      <c r="I22" s="10" t="n">
        <f aca="false">H22/830000</f>
        <v>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8" t="n">
        <v>20</v>
      </c>
      <c r="B23" s="8" t="s">
        <v>79</v>
      </c>
      <c r="C23" s="8" t="s">
        <v>80</v>
      </c>
      <c r="D23" s="8" t="s">
        <v>81</v>
      </c>
      <c r="E23" s="8" t="s">
        <v>52</v>
      </c>
      <c r="F23" s="8" t="n">
        <v>22418974</v>
      </c>
      <c r="G23" s="16" t="n">
        <v>27224189740</v>
      </c>
      <c r="H23" s="9" t="n">
        <v>830000</v>
      </c>
      <c r="I23" s="10" t="n">
        <f aca="false">H23/830000</f>
        <v>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8" t="n">
        <v>21</v>
      </c>
      <c r="B24" s="8" t="s">
        <v>82</v>
      </c>
      <c r="C24" s="8" t="s">
        <v>83</v>
      </c>
      <c r="D24" s="8" t="s">
        <v>84</v>
      </c>
      <c r="E24" s="8" t="s">
        <v>85</v>
      </c>
      <c r="F24" s="8" t="n">
        <v>43157940</v>
      </c>
      <c r="G24" s="8" t="n">
        <v>27431579400</v>
      </c>
      <c r="H24" s="9" t="n">
        <v>830000</v>
      </c>
      <c r="I24" s="10" t="n">
        <f aca="false">H24/830000</f>
        <v>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true" outlineLevel="0" collapsed="false">
      <c r="A25" s="8" t="n">
        <v>22</v>
      </c>
      <c r="B25" s="8" t="s">
        <v>86</v>
      </c>
      <c r="C25" s="8" t="s">
        <v>87</v>
      </c>
      <c r="D25" s="8" t="s">
        <v>88</v>
      </c>
      <c r="E25" s="17" t="s">
        <v>89</v>
      </c>
      <c r="F25" s="8" t="n">
        <v>38091874</v>
      </c>
      <c r="G25" s="8" t="n">
        <v>27380918744</v>
      </c>
      <c r="H25" s="9" t="n">
        <v>830000</v>
      </c>
      <c r="I25" s="10" t="n">
        <f aca="false">H25/830000</f>
        <v>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true" outlineLevel="0" collapsed="false">
      <c r="A26" s="8" t="n">
        <v>23</v>
      </c>
      <c r="B26" s="8" t="s">
        <v>90</v>
      </c>
      <c r="C26" s="8" t="s">
        <v>91</v>
      </c>
      <c r="D26" s="8" t="s">
        <v>92</v>
      </c>
      <c r="E26" s="8" t="s">
        <v>93</v>
      </c>
      <c r="F26" s="8" t="n">
        <v>22139086</v>
      </c>
      <c r="G26" s="8" t="n">
        <v>27221390860</v>
      </c>
      <c r="H26" s="9" t="n">
        <v>830000</v>
      </c>
      <c r="I26" s="10" t="n">
        <f aca="false">H26/830000</f>
        <v>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true" outlineLevel="0" collapsed="false">
      <c r="A27" s="8" t="n">
        <v>24</v>
      </c>
      <c r="B27" s="8" t="s">
        <v>94</v>
      </c>
      <c r="C27" s="8" t="s">
        <v>95</v>
      </c>
      <c r="D27" s="8" t="s">
        <v>96</v>
      </c>
      <c r="E27" s="8" t="s">
        <v>17</v>
      </c>
      <c r="F27" s="8" t="n">
        <v>92651717</v>
      </c>
      <c r="G27" s="8" t="n">
        <v>27926517177</v>
      </c>
      <c r="H27" s="9" t="n">
        <f aca="false">+830000*2</f>
        <v>1660000</v>
      </c>
      <c r="I27" s="10" t="n">
        <f aca="false">H27/830000</f>
        <v>2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true" outlineLevel="0" collapsed="false">
      <c r="A28" s="8" t="n">
        <v>25</v>
      </c>
      <c r="B28" s="8" t="s">
        <v>97</v>
      </c>
      <c r="C28" s="8" t="s">
        <v>98</v>
      </c>
      <c r="D28" s="8" t="s">
        <v>99</v>
      </c>
      <c r="E28" s="8" t="s">
        <v>100</v>
      </c>
      <c r="F28" s="8" t="n">
        <v>32716739</v>
      </c>
      <c r="G28" s="8" t="n">
        <v>27327167397</v>
      </c>
      <c r="H28" s="9" t="n">
        <v>830000</v>
      </c>
      <c r="I28" s="10" t="n">
        <f aca="false">H28/830000</f>
        <v>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8" t="n">
        <v>26</v>
      </c>
      <c r="B29" s="8" t="s">
        <v>101</v>
      </c>
      <c r="C29" s="8" t="s">
        <v>102</v>
      </c>
      <c r="D29" s="8" t="s">
        <v>103</v>
      </c>
      <c r="E29" s="8" t="s">
        <v>69</v>
      </c>
      <c r="F29" s="8" t="n">
        <v>30225882</v>
      </c>
      <c r="G29" s="8" t="n">
        <v>27302258827</v>
      </c>
      <c r="H29" s="9" t="n">
        <v>830000</v>
      </c>
      <c r="I29" s="10" t="n">
        <f aca="false">H29/830000</f>
        <v>1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18"/>
      <c r="B30" s="18"/>
      <c r="C30" s="18"/>
      <c r="D30" s="18"/>
      <c r="E30" s="18"/>
      <c r="F30" s="18"/>
      <c r="G30" s="4" t="s">
        <v>104</v>
      </c>
      <c r="H30" s="9" t="n">
        <f aca="false">SUM(H4:H29)</f>
        <v>28220000</v>
      </c>
      <c r="I30" s="3" t="n">
        <f aca="false">SUM(I4:I29)</f>
        <v>34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19"/>
      <c r="H31" s="2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</sheetData>
  <autoFilter ref="A3:H30">
    <sortState ref="A4:H30">
      <sortCondition ref="B4:B30" customList=""/>
    </sortState>
  </autoFilter>
  <mergeCells count="2">
    <mergeCell ref="A1:H1"/>
    <mergeCell ref="A2:H2"/>
  </mergeCells>
  <printOptions headings="false" gridLines="true" gridLinesSet="true" horizontalCentered="true" verticalCentered="false"/>
  <pageMargins left="0.7" right="0.7" top="0.767361111111111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LibreOffice/25.2.2.2$Linux_X86_64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cp:lastPrinted>2026-10-05T08:38:23Z</cp:lastPrinted>
  <dcterms:modified xsi:type="dcterms:W3CDTF">2026-10-05T08:59:45Z</dcterms:modified>
  <cp:revision>4</cp:revision>
  <dc:subject/>
  <dc:title/>
</cp:coreProperties>
</file>